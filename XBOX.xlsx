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c27c372b3c9a7/Documentos/CURSOS/GRUPO SANTANDER/Excel Dio/"/>
    </mc:Choice>
  </mc:AlternateContent>
  <xr:revisionPtr revIDLastSave="385" documentId="13_ncr:1_{3C2F8ED6-40B2-4E08-832A-7140AC03FA60}" xr6:coauthVersionLast="47" xr6:coauthVersionMax="47" xr10:uidLastSave="{D95A59CB-81B1-48F5-BCB8-8BEEACA24662}"/>
  <bookViews>
    <workbookView xWindow="-24120" yWindow="-1770" windowWidth="24240" windowHeight="130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2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<sst xmlns="http://schemas.openxmlformats.org/spreadsheetml/2006/main" count="2021" uniqueCount="323">
  <si>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</si>
  <si>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</si>
  <si>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</si>
  <si>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</si>
  <si>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</si>
  <si>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</si>
  <si>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</si>
  <si>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</si>
  <si>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</si>
  <si>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</si>
  <si>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</si>
  <si>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</si>
  <si>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</si>
  <si>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</si>
  <si>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</si>
  <si>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</si>
  <si>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</si>
  <si>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</si>
  <si>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</si>
  <si>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</si>
  <si>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</si>
  <si>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</si>
  <si>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</si>
  <si>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</si>
  <si>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</si>
  <si>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</si>
  <si>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</si>
  <si>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</si>
  <si>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</si>
  <si>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</si>
  <si>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</si>
  <si>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</si>
  <si>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</si>
  <si>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</si>
  <si>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</si>
  <si>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</si>
  <si>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</si>
  <si>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</si>
  <si>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</si>
  <si>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</si>
  <si>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</si>
  <si>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</si>
  <si>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</si>
  <si>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</si>
  <si>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</si>
  <si>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</si>
  <si>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</si>
  <si>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</si>
  <si>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</si>
  <si>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</si>
  <si>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</si>
  <si>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</si>
  <si>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</si>
  <si>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</si>
  <si>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</si>
  <si>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</si>
  <si>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</si>
  <si>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</si>
  <si>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</si>
  <si>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</si>
  <si>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</si>
  <si>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</si>
  <si>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</si>
  <si>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</si>
  <si>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</si>
  <si>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</si>
  <si>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</si>
  <si>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</si>
  <si>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</si>
  <si>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</si>
  <si>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</si>
  <si>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</si>
  <si>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</si>
  <si>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</si>
  <si>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</si>
  <si>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</si>
  <si>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</si>
  <si>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</si>
  <si>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</si>
  <si>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</si>
  <si>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</si>
  <si>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</si>
  <si>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</si>
  <si>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</si>
  <si>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</si>
  <si>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</si>
  <si>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</si>
  <si>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</si>
  <si>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</si>
  <si>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</si>
  <si>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</si>
  <si>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</si>
  <si>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</si>
  <si>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</si>
  <si>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</si>
  <si>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</si>
  <si>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</si>
  <si>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</si>
  <si>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</si>
  <si>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</si>
  <si>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</si>
  <si>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</si>
  <si>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</si>
  <si>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</si>
  <si>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</si>
  <si>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</si>
  <si>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</si>
  <si>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</si>
  <si>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</si>
  <si>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</si>
  <si>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</si>
  <si>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</si>
  <si>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</si>
  <si>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</si>
  <si>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</si>
  <si>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</si>
  <si>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</si>
  <si>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</si>
  <si>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</si>
  <si>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</si>
  <si>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</si>
  <si>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</si>
  <si>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</si>
  <si>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</si>
  <si>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</si>
  <si>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</si>
  <si>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</si>
  <si>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</si>
  <si>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</si>
  <si>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</si>
  <si>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</si>
  <si>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</si>
  <si>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</si>
  <si>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</si>
  <si>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</si>
  <si>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</si>
  <si>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</si>
  <si>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</si>
  <si>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</si>
  <si>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</si>
  <si>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</si>
  <si>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</si>
  <si>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</si>
  <si>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</si>
  <si>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</si>
  <si>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</si>
  <si>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</si>
  <si>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</si>
  <si>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</si>
  <si>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</si>
  <si>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</si>
  <si>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</si>
  <si>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</si>
  <si>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</si>
  <si>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</si>
  <si>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</si>
  <si>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</si>
  <si>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</si>
  <si>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</si>
  <si>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</si>
  <si>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</si>
  <si>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</si>
  <si>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</si>
  <si>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</si>
  <si>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</si>
  <si>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</si>
  <si>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</si>
  <si>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</si>
  <si>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</si>
  <si>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</si>
  <si>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</si>
  <si>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</si>
  <si>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</si>
  <si>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</si>
  <si>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</si>
  <si>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</si>
  <si>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</si>
  <si>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</si>
  <si>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</si>
  <si>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</si>
  <si>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</si>
  <si>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</si>
  <si>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</si>
  <si>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</si>
  <si>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</si>
  <si>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</si>
  <si>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</si>
  <si>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</si>
  <si>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</si>
  <si>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</si>
  <si>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</si>
  <si>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</si>
  <si>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</si>
  <si>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</si>
  <si>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</si>
  <si>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</si>
  <si>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</si>
  <si>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</si>
  <si>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</si>
  <si>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</si>
  <si>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</si>
  <si>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</si>
  <si>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</si>
  <si>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</si>
  <si>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</si>
  <si>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</si>
  <si>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</si>
  <si>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</si>
  <si>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</si>
  <si>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</si>
  <si>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</si>
  <si>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</si>
  <si>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</si>
  <si>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</si>
  <si>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</si>
  <si>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</si>
  <si>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</si>
  <si>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</si>
  <si>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</si>
  <si>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</si>
  <si>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</si>
  <si>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</si>
  <si>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</si>
  <si>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</si>
  <si>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</si>
  <si>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</si>
  <si>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</si>
  <si>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</si>
  <si>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</si>
  <si>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</si>
  <si>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</si>
  <si>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</si>
  <si>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</si>
  <si>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</si>
  <si>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</si>
  <si>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</si>
  <si>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</si>
  <si>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</si>
  <si>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</si>
  <si>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</si>
  <si>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</si>
  <si>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</si>
  <si>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</si>
  <si>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</si>
  <si>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</si>
  <si>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</si>
  <si>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</si>
  <si>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</si>
  <si>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</si>
  <si>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</si>
  <si>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</si>
  <si>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</si>
  <si>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</si>
  <si>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</si>
  <si>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</si>
  <si>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</si>
  <si>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</si>
  <si>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</si>
  <si>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</si>
  <si>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</si>
  <si>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</si>
  <si>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</si>
  <si>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</si>
  <si>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</si>
  <si>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</si>
  <si>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</si>
  <si>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</si>
  <si>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</si>
  <si>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</si>
  <si>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</si>
  <si>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</si>
  <si>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</si>
  <si>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</si>
  <si>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</si>
  <si>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</si>
  <si>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</si>
  <si>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</si>
  <si>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</si>
  <si>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</si>
  <si>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</si>
  <si>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</si>
  <si>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</si>
  <si>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</si>
  <si>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</si>
  <si>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</si>
  <si>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</si>
  <si>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</si>
  <si>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</si>
  <si>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</si>
  <si>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</si>
  <si>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</si>
  <si>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</si>
  <si>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</si>
  <si>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</si>
  <si>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</si>
  <si>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</si>
  <si>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</si>
  <si>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</si>
  <si>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</si>
  <si>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</si>
  <si>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</si>
  <si>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</si>
  <si>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</si>
  <si>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</si>
  <si>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</si>
  <si>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</si>
  <si>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</si>
  <si>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</si>
  <si>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</si>
  <si>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</si>
  <si>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</si>
  <si>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</si>
  <si>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</si>
  <si>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</si>
  <si>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</si>
  <si>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</si>
  <si>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1-	Qual faturamento total de venda de planos anuais (contendo todas as assinaturas agregadas)?l</t>
  </si>
  <si>
    <t>2- Qual faturamento total de vendas de planos anuais, separado por auto renovação ou que não é por auto renovação?</t>
  </si>
  <si>
    <t>XBOX GAME PASS SUBSCRIPTION SALES</t>
  </si>
  <si>
    <t>3- Total de vendas de assinaturas do EA Play</t>
  </si>
  <si>
    <t>Soma de EA Play Season Pass</t>
  </si>
  <si>
    <t>3- Total de vendas de assinaturas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</si>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</sst>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sz val="11"/>
      <color theme="9" tint="-0.249977111117893"/>
      <name val="Aptos Narrow"/>
      <family val="2"/>
      <scheme val="minor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7" borderId="0" xfId="0" applyFill="1" applyAlignment="1">
      <alignment horizontal="center" vertical="center"/>
    </xf>
    <xf numFmtId="0" fontId="5" fillId="4" borderId="0" xfId="0" applyFont="1" applyFill="1"/>
    <xf numFmtId="0" fontId="6" fillId="0" borderId="0" xfId="1" applyFont="1" applyBorder="1"/>
    <xf numFmtId="164" fontId="0" fillId="0" borderId="0" xfId="0" applyNumberFormat="1"/>
    <xf numFmtId="0" fontId="4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b/>
        <i val="0"/>
        <color theme="0" tint="-4.9989318521683403E-2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BB8FCC7A-0648-4D19-9984-DF327E5BFCA3}">
      <tableStyleElement type="wholeTable" dxfId="15"/>
      <tableStyleElement type="headerRow" dxfId="14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3-498C-B279-9E384058C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1037280"/>
        <c:axId val="1011035840"/>
      </c:barChart>
      <c:catAx>
        <c:axId val="101103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035840"/>
        <c:crosses val="autoZero"/>
        <c:auto val="1"/>
        <c:lblAlgn val="ctr"/>
        <c:lblOffset val="100"/>
        <c:noMultiLvlLbl val="0"/>
      </c:catAx>
      <c:valAx>
        <c:axId val="101103584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103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99058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99058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8</xdr:row>
      <xdr:rowOff>19527</xdr:rowOff>
    </xdr:from>
    <xdr:to>
      <xdr:col>0</xdr:col>
      <xdr:colOff>1767840</xdr:colOff>
      <xdr:row>22</xdr:row>
      <xdr:rowOff>96680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5048EAF-A4E7-45A0-A48A-278F3D0A0B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956436"/>
              <a:ext cx="1771650" cy="2577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129540</xdr:colOff>
      <xdr:row>5</xdr:row>
      <xdr:rowOff>2724</xdr:rowOff>
    </xdr:from>
    <xdr:to>
      <xdr:col>9</xdr:col>
      <xdr:colOff>218122</xdr:colOff>
      <xdr:row>13</xdr:row>
      <xdr:rowOff>163220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8D292B84-221A-9261-5AB9-B99AFA901606}"/>
            </a:ext>
          </a:extLst>
        </xdr:cNvPr>
        <xdr:cNvGrpSpPr/>
      </xdr:nvGrpSpPr>
      <xdr:grpSpPr>
        <a:xfrm>
          <a:off x="2240756" y="1371943"/>
          <a:ext cx="4333399" cy="1626870"/>
          <a:chOff x="2242661" y="1200626"/>
          <a:chExt cx="4325779" cy="162496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6EC54AE9-A740-9756-48E8-8F9D0CB28DEC}"/>
              </a:ext>
            </a:extLst>
          </xdr:cNvPr>
          <xdr:cNvSpPr/>
        </xdr:nvSpPr>
        <xdr:spPr>
          <a:xfrm>
            <a:off x="2246471" y="1657350"/>
            <a:ext cx="4317682" cy="1129189"/>
          </a:xfrm>
          <a:prstGeom prst="roundRect">
            <a:avLst>
              <a:gd name="adj" fmla="val 823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776EDF84-22AE-43ED-A830-35C3E236FB15}"/>
              </a:ext>
            </a:extLst>
          </xdr:cNvPr>
          <xdr:cNvSpPr/>
        </xdr:nvSpPr>
        <xdr:spPr>
          <a:xfrm>
            <a:off x="3761899" y="1857613"/>
            <a:ext cx="2456974" cy="791051"/>
          </a:xfrm>
          <a:prstGeom prst="roundRect">
            <a:avLst>
              <a:gd name="adj" fmla="val 7681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57FA854-2466-4A95-AC60-0BD716C0BB86}" type="TxLink">
              <a:rPr lang="en-US" sz="32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60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FB178B0A-0137-456A-8330-1F7AA9E395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95061" y="1674971"/>
            <a:ext cx="1215390" cy="1150620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27D08FF-EB8F-3F12-876E-F5689249997C}"/>
              </a:ext>
            </a:extLst>
          </xdr:cNvPr>
          <xdr:cNvSpPr/>
        </xdr:nvSpPr>
        <xdr:spPr>
          <a:xfrm>
            <a:off x="2242661" y="1200626"/>
            <a:ext cx="4325779" cy="456724"/>
          </a:xfrm>
          <a:prstGeom prst="roundRect">
            <a:avLst>
              <a:gd name="adj" fmla="val 1927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9049</xdr:colOff>
      <xdr:row>5</xdr:row>
      <xdr:rowOff>2726</xdr:rowOff>
    </xdr:from>
    <xdr:to>
      <xdr:col>19</xdr:col>
      <xdr:colOff>-1</xdr:colOff>
      <xdr:row>13</xdr:row>
      <xdr:rowOff>127501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64153833-3600-5740-151F-1A62E3254927}"/>
            </a:ext>
          </a:extLst>
        </xdr:cNvPr>
        <xdr:cNvGrpSpPr/>
      </xdr:nvGrpSpPr>
      <xdr:grpSpPr>
        <a:xfrm>
          <a:off x="7583329" y="1371945"/>
          <a:ext cx="4441983" cy="1593054"/>
          <a:chOff x="7449026" y="1239203"/>
          <a:chExt cx="4331494" cy="1583962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05A73AF6-51F5-4DD5-8D9F-BB172B723223}"/>
              </a:ext>
            </a:extLst>
          </xdr:cNvPr>
          <xdr:cNvGrpSpPr/>
        </xdr:nvGrpSpPr>
        <xdr:grpSpPr>
          <a:xfrm>
            <a:off x="7447121" y="1235393"/>
            <a:ext cx="4333399" cy="1591582"/>
            <a:chOff x="2242661" y="1200626"/>
            <a:chExt cx="4325779" cy="1585913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BE108B86-7232-791F-03BA-6B7BC63E6A8C}"/>
                </a:ext>
              </a:extLst>
            </xdr:cNvPr>
            <xdr:cNvSpPr/>
          </xdr:nvSpPr>
          <xdr:spPr>
            <a:xfrm>
              <a:off x="2246471" y="1657350"/>
              <a:ext cx="4317682" cy="1129189"/>
            </a:xfrm>
            <a:prstGeom prst="roundRect">
              <a:avLst>
                <a:gd name="adj" fmla="val 8232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DD7C1BB5-8794-3CD4-152C-92B7A3864F0A}"/>
                </a:ext>
              </a:extLst>
            </xdr:cNvPr>
            <xdr:cNvSpPr/>
          </xdr:nvSpPr>
          <xdr:spPr>
            <a:xfrm>
              <a:off x="3761899" y="1857613"/>
              <a:ext cx="2456974" cy="791051"/>
            </a:xfrm>
            <a:prstGeom prst="roundRect">
              <a:avLst>
                <a:gd name="adj" fmla="val 768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BA2D772-C982-4FDF-B2F3-270E52924850}" type="TxLink">
                <a:rPr lang="en-US" sz="32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R$ 940,00</a:t>
              </a:fld>
              <a:endParaRPr lang="pt-BR" sz="60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C8E2D97E-4CB7-5FFB-F916-9608DA7255B4}"/>
                </a:ext>
              </a:extLst>
            </xdr:cNvPr>
            <xdr:cNvSpPr/>
          </xdr:nvSpPr>
          <xdr:spPr>
            <a:xfrm>
              <a:off x="2242661" y="1200626"/>
              <a:ext cx="4325779" cy="456724"/>
            </a:xfrm>
            <a:prstGeom prst="roundRect">
              <a:avLst>
                <a:gd name="adj" fmla="val 19274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</a:p>
          </xdr:txBody>
        </xdr:sp>
      </xdr:grp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3B52C19F-D2FE-4111-B689-07424F130D43}"/>
              </a:ext>
            </a:extLst>
          </xdr:cNvPr>
          <xdr:cNvGrpSpPr/>
        </xdr:nvGrpSpPr>
        <xdr:grpSpPr>
          <a:xfrm>
            <a:off x="7591901" y="1844970"/>
            <a:ext cx="1460659" cy="708659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6B413198-E726-D3FC-2DA7-3BE640AB8AC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B0C416E7-AE6C-9B9C-6EFF-C0A91B10E6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129541</xdr:colOff>
      <xdr:row>15</xdr:row>
      <xdr:rowOff>148931</xdr:rowOff>
    </xdr:from>
    <xdr:to>
      <xdr:col>19</xdr:col>
      <xdr:colOff>9524</xdr:colOff>
      <xdr:row>36</xdr:row>
      <xdr:rowOff>56540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F4AE698-6458-EDBC-D1E2-376E2FE1CF52}"/>
            </a:ext>
          </a:extLst>
        </xdr:cNvPr>
        <xdr:cNvGrpSpPr/>
      </xdr:nvGrpSpPr>
      <xdr:grpSpPr>
        <a:xfrm>
          <a:off x="2240757" y="3339806"/>
          <a:ext cx="9795985" cy="3661888"/>
          <a:chOff x="2236947" y="3339806"/>
          <a:chExt cx="9797890" cy="365807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694334B-A914-9B1F-BE92-DBA1B69F94B6}"/>
              </a:ext>
            </a:extLst>
          </xdr:cNvPr>
          <xdr:cNvGrpSpPr/>
        </xdr:nvGrpSpPr>
        <xdr:grpSpPr>
          <a:xfrm>
            <a:off x="2240757" y="3792720"/>
            <a:ext cx="9753123" cy="3208974"/>
            <a:chOff x="1869758" y="1760218"/>
            <a:chExt cx="4980146" cy="307562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5F3FE95-7266-B2AE-4DFE-AF5BB6DC6E6A}"/>
                </a:ext>
              </a:extLst>
            </xdr:cNvPr>
            <xdr:cNvSpPr/>
          </xdr:nvSpPr>
          <xdr:spPr>
            <a:xfrm>
              <a:off x="1869758" y="1760218"/>
              <a:ext cx="4980146" cy="3075624"/>
            </a:xfrm>
            <a:prstGeom prst="roundRect">
              <a:avLst>
                <a:gd name="adj" fmla="val 331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ln>
                  <a:noFill/>
                </a:ln>
                <a:solidFill>
                  <a:schemeClr val="bg1"/>
                </a:solidFill>
              </a:endParaRPr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CC03644-F97F-41F2-8E63-7BCB984136F9}"/>
                </a:ext>
              </a:extLst>
            </xdr:cNvPr>
            <xdr:cNvGraphicFramePr>
              <a:graphicFrameLocks/>
            </xdr:cNvGraphicFramePr>
          </xdr:nvGraphicFramePr>
          <xdr:xfrm>
            <a:off x="2068355" y="1925003"/>
            <a:ext cx="4571999" cy="273939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84F35E06-6235-4F08-973B-7F046E3C46F6}"/>
              </a:ext>
            </a:extLst>
          </xdr:cNvPr>
          <xdr:cNvSpPr/>
        </xdr:nvSpPr>
        <xdr:spPr>
          <a:xfrm>
            <a:off x="2238376" y="3339806"/>
            <a:ext cx="9796461" cy="435769"/>
          </a:xfrm>
          <a:prstGeom prst="roundRect">
            <a:avLst>
              <a:gd name="adj" fmla="val 1927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434341</xdr:colOff>
      <xdr:row>0</xdr:row>
      <xdr:rowOff>230504</xdr:rowOff>
    </xdr:from>
    <xdr:to>
      <xdr:col>0</xdr:col>
      <xdr:colOff>1331595</xdr:colOff>
      <xdr:row>3</xdr:row>
      <xdr:rowOff>55244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13791B8C-7939-4BBC-9964-EDF4A1EDC44E}"/>
            </a:ext>
          </a:extLst>
        </xdr:cNvPr>
        <xdr:cNvSpPr/>
      </xdr:nvSpPr>
      <xdr:spPr>
        <a:xfrm>
          <a:off x="434341" y="230504"/>
          <a:ext cx="897254" cy="807244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4</xdr:row>
      <xdr:rowOff>59054</xdr:rowOff>
    </xdr:from>
    <xdr:to>
      <xdr:col>1</xdr:col>
      <xdr:colOff>133349</xdr:colOff>
      <xdr:row>6</xdr:row>
      <xdr:rowOff>56197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77E1A4E4-8FC7-9F8A-1E51-6C7EE7070775}"/>
            </a:ext>
          </a:extLst>
        </xdr:cNvPr>
        <xdr:cNvSpPr/>
      </xdr:nvSpPr>
      <xdr:spPr>
        <a:xfrm>
          <a:off x="0" y="1226343"/>
          <a:ext cx="1974532" cy="40100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Bem</a:t>
          </a:r>
          <a:r>
            <a:rPr lang="pt-BR" sz="1100" b="1" baseline="0">
              <a:latin typeface="Segoe UI" panose="020B0502040204020203" pitchFamily="34" charset="0"/>
              <a:cs typeface="Segoe UI" panose="020B0502040204020203" pitchFamily="34" charset="0"/>
            </a:rPr>
            <a:t> vindo(a), Germana!</a:t>
          </a:r>
          <a:endParaRPr lang="pt-BR" sz="11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1</xdr:col>
      <xdr:colOff>137159</xdr:colOff>
      <xdr:row>0</xdr:row>
      <xdr:rowOff>230504</xdr:rowOff>
    </xdr:from>
    <xdr:to>
      <xdr:col>3</xdr:col>
      <xdr:colOff>38832</xdr:colOff>
      <xdr:row>2</xdr:row>
      <xdr:rowOff>273842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DD0DAF-850B-4F74-B149-D878C91BE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2" t="22381" r="72276" b="21257"/>
        <a:stretch>
          <a:fillRect/>
        </a:stretch>
      </xdr:blipFill>
      <xdr:spPr>
        <a:xfrm>
          <a:off x="1970722" y="230504"/>
          <a:ext cx="782735" cy="745807"/>
        </a:xfrm>
        <a:prstGeom prst="rect">
          <a:avLst/>
        </a:prstGeom>
      </xdr:spPr>
    </xdr:pic>
    <xdr:clientData/>
  </xdr:twoCellAnchor>
  <xdr:twoCellAnchor editAs="absolute">
    <xdr:from>
      <xdr:col>2</xdr:col>
      <xdr:colOff>28279</xdr:colOff>
      <xdr:row>2</xdr:row>
      <xdr:rowOff>283691</xdr:rowOff>
    </xdr:from>
    <xdr:to>
      <xdr:col>13</xdr:col>
      <xdr:colOff>24080</xdr:colOff>
      <xdr:row>4</xdr:row>
      <xdr:rowOff>189394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F06B05A3-D374-45AF-BFCA-6B8910A89389}"/>
            </a:ext>
          </a:extLst>
        </xdr:cNvPr>
        <xdr:cNvSpPr/>
      </xdr:nvSpPr>
      <xdr:spPr>
        <a:xfrm>
          <a:off x="2135685" y="986160"/>
          <a:ext cx="6520426" cy="38195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Período de apuração:</a:t>
          </a:r>
          <a:r>
            <a:rPr lang="pt-BR" sz="1100" b="0" baseline="0">
              <a:solidFill>
                <a:schemeClr val="tx1">
                  <a:lumMod val="50000"/>
                  <a:lumOff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01/01/2024 - 31/12/2024 | Update date: 25/12/2024 09:00:00</a:t>
          </a:r>
          <a:endParaRPr lang="pt-BR" sz="1100" b="0">
            <a:solidFill>
              <a:schemeClr val="tx1">
                <a:lumMod val="50000"/>
                <a:lumOff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rnanda Ribeiro" refreshedDate="46067.940687615737" createdVersion="8" refreshedVersion="8" minRefreshableVersion="3" recordCount="295" xr:uid="{07E00779-B149-4351-A49B-C6268422AD8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110968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1EDC5-42CC-4D7F-B7B6-3B1E5B1018EB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016D5-25AD-467E-A399-9DF4A492D228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01CC4-61AF-4EC2-932D-7F0F4811AFBF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B3CC2A5-6779-41A0-9F6D-D0BB3E84981F}" sourceName="Subscription Type">
  <pivotTables>
    <pivotTable tabId="3" name="tbl_annual_total"/>
    <pivotTable tabId="3" name="tbl_easeasonpass_total"/>
    <pivotTable tabId="3" name="Tabela dinâmica5"/>
  </pivotTables>
  <data>
    <tabular pivotCacheId="191109687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896D646-0869-4495-8B72-768566D91436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36" sqref="E3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A16" workbookViewId="0">
      <selection activeCell="E36" sqref="E36"/>
    </sheetView>
  </sheetViews>
  <sheetFormatPr defaultRowHeight="14.4" x14ac:dyDescent="0.3"/>
  <cols>
    <col min="2" max="2" width="17.88671875" bestFit="1" customWidth="1"/>
    <col min="3" max="3" width="34.109375" bestFit="1" customWidth="1"/>
    <col min="4" max="4" width="30.5546875" bestFit="1" customWidth="1"/>
    <col min="5" max="5" width="10.5546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316</v>
      </c>
    </row>
    <row r="4" spans="2:3" x14ac:dyDescent="0.3">
      <c r="B4" t="s">
        <v>317</v>
      </c>
    </row>
    <row r="9" spans="2:3" x14ac:dyDescent="0.3">
      <c r="B9" s="12" t="s">
        <v>16</v>
      </c>
      <c r="C9" t="s">
        <v>24</v>
      </c>
    </row>
    <row r="11" spans="2:3" x14ac:dyDescent="0.3">
      <c r="B11" s="12" t="s">
        <v>313</v>
      </c>
      <c r="C11" t="s">
        <v>315</v>
      </c>
    </row>
    <row r="12" spans="2:3" x14ac:dyDescent="0.3">
      <c r="B12" s="13" t="s">
        <v>23</v>
      </c>
      <c r="C12" s="14">
        <v>217</v>
      </c>
    </row>
    <row r="13" spans="2:3" x14ac:dyDescent="0.3">
      <c r="B13" s="13" t="s">
        <v>19</v>
      </c>
      <c r="C13" s="14">
        <v>1537</v>
      </c>
    </row>
    <row r="14" spans="2:3" x14ac:dyDescent="0.3">
      <c r="B14" s="13" t="s">
        <v>314</v>
      </c>
      <c r="C14" s="14">
        <v>1754</v>
      </c>
    </row>
    <row r="16" spans="2:3" ht="13.8" customHeight="1" x14ac:dyDescent="0.3"/>
    <row r="17" spans="2:5" ht="13.8" customHeight="1" x14ac:dyDescent="0.3">
      <c r="B17" t="s">
        <v>319</v>
      </c>
    </row>
    <row r="18" spans="2:5" x14ac:dyDescent="0.3">
      <c r="C18" s="13"/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313</v>
      </c>
      <c r="C21" t="s">
        <v>320</v>
      </c>
    </row>
    <row r="22" spans="2:5" x14ac:dyDescent="0.3">
      <c r="B22" s="13" t="s">
        <v>22</v>
      </c>
      <c r="C22">
        <v>0</v>
      </c>
      <c r="E22" s="18">
        <f>GETPIVOTDATA("EA Play Season Pass
Price",$B$21)</f>
        <v>600</v>
      </c>
    </row>
    <row r="23" spans="2:5" x14ac:dyDescent="0.3">
      <c r="B23" s="13" t="s">
        <v>26</v>
      </c>
      <c r="C23">
        <v>0</v>
      </c>
    </row>
    <row r="24" spans="2:5" x14ac:dyDescent="0.3">
      <c r="B24" s="13" t="s">
        <v>18</v>
      </c>
      <c r="C24">
        <v>600</v>
      </c>
    </row>
    <row r="25" spans="2:5" x14ac:dyDescent="0.3">
      <c r="B25" s="13" t="s">
        <v>314</v>
      </c>
      <c r="C25">
        <v>600</v>
      </c>
    </row>
    <row r="28" spans="2:5" x14ac:dyDescent="0.3">
      <c r="B28" t="s">
        <v>321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313</v>
      </c>
      <c r="C32" t="s">
        <v>322</v>
      </c>
    </row>
    <row r="33" spans="2:5" x14ac:dyDescent="0.3">
      <c r="B33" s="13" t="s">
        <v>22</v>
      </c>
      <c r="C33" s="14">
        <v>0</v>
      </c>
    </row>
    <row r="34" spans="2:5" x14ac:dyDescent="0.3">
      <c r="B34" s="13" t="s">
        <v>26</v>
      </c>
      <c r="C34" s="14">
        <v>540</v>
      </c>
    </row>
    <row r="35" spans="2:5" x14ac:dyDescent="0.3">
      <c r="B35" s="13" t="s">
        <v>18</v>
      </c>
      <c r="C35" s="14">
        <v>400</v>
      </c>
    </row>
    <row r="36" spans="2:5" x14ac:dyDescent="0.3">
      <c r="B36" s="13" t="s">
        <v>314</v>
      </c>
      <c r="C36" s="14">
        <v>940</v>
      </c>
      <c r="E36" s="18">
        <f>GETPIVOTDATA("Minecraft Season Pass Price",$B$32)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FL251"/>
  <sheetViews>
    <sheetView showGridLines="0" showRowColHeaders="0" tabSelected="1" zoomScale="80" zoomScaleNormal="80" workbookViewId="0">
      <selection activeCell="W33" sqref="W33"/>
    </sheetView>
  </sheetViews>
  <sheetFormatPr defaultRowHeight="14.4" x14ac:dyDescent="0.3"/>
  <cols>
    <col min="1" max="1" width="26.77734375" style="16" customWidth="1"/>
    <col min="2" max="2" width="4" customWidth="1"/>
    <col min="12" max="12" width="6.5546875" customWidth="1"/>
    <col min="19" max="19" width="5.21875" customWidth="1"/>
  </cols>
  <sheetData>
    <row r="1" spans="2:168" ht="23.4" customHeight="1" x14ac:dyDescent="0.3"/>
    <row r="2" spans="2:168" ht="31.2" customHeight="1" thickBot="1" x14ac:dyDescent="0.6">
      <c r="B2" s="17"/>
      <c r="C2" s="21" t="s">
        <v>318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</row>
    <row r="3" spans="2:168" ht="22.2" customHeight="1" thickTop="1" x14ac:dyDescent="0.3"/>
    <row r="4" spans="2:168" ht="15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</row>
    <row r="5" spans="2:168" ht="1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</row>
    <row r="6" spans="2:168" ht="1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</row>
    <row r="7" spans="2:168" ht="1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</row>
    <row r="8" spans="2:168" ht="15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</row>
    <row r="9" spans="2:168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</row>
    <row r="10" spans="2:168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</row>
    <row r="11" spans="2:168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</row>
    <row r="12" spans="2:168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</row>
    <row r="13" spans="2:168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</row>
    <row r="14" spans="2:168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</row>
    <row r="15" spans="2:168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15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</row>
    <row r="16" spans="2:168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</row>
    <row r="17" spans="2:168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</row>
    <row r="18" spans="2:168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</row>
    <row r="19" spans="2:168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</row>
    <row r="20" spans="2:168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</row>
    <row r="21" spans="2:168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</row>
    <row r="22" spans="2:168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</row>
    <row r="23" spans="2:168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</row>
    <row r="24" spans="2:168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</row>
    <row r="25" spans="2:168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</row>
    <row r="26" spans="2:168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</row>
    <row r="27" spans="2:168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</row>
    <row r="28" spans="2:168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</row>
    <row r="29" spans="2:168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</row>
    <row r="30" spans="2:168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</row>
    <row r="31" spans="2:168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</row>
    <row r="32" spans="2:168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</row>
    <row r="33" spans="2:168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2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</row>
    <row r="34" spans="2:168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</row>
    <row r="35" spans="2:168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</row>
    <row r="36" spans="2:168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</row>
    <row r="37" spans="2:168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</row>
    <row r="38" spans="2:168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</row>
    <row r="39" spans="2:168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</row>
    <row r="40" spans="2:168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</row>
    <row r="41" spans="2:168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</row>
    <row r="42" spans="2:168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</row>
    <row r="43" spans="2:168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</row>
    <row r="44" spans="2:168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</row>
    <row r="45" spans="2:168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</row>
    <row r="46" spans="2:168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</row>
    <row r="47" spans="2:168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</row>
    <row r="48" spans="2:168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</row>
    <row r="49" spans="2:168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</row>
    <row r="50" spans="2:168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</row>
    <row r="51" spans="2:168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</row>
    <row r="52" spans="2:168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</row>
    <row r="53" spans="2:168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</row>
    <row r="54" spans="2:168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</row>
    <row r="55" spans="2:168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</row>
    <row r="56" spans="2:168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</row>
    <row r="57" spans="2:168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</row>
    <row r="58" spans="2:168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</row>
    <row r="59" spans="2:16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</row>
    <row r="60" spans="2:16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</row>
    <row r="61" spans="2:16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</row>
    <row r="62" spans="2:16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</row>
    <row r="63" spans="2:16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</row>
    <row r="64" spans="2:16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</row>
    <row r="65" spans="2:168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</row>
    <row r="66" spans="2:168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</row>
    <row r="67" spans="2:168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</row>
    <row r="68" spans="2:168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</row>
    <row r="69" spans="2:168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</row>
    <row r="70" spans="2:168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</row>
    <row r="71" spans="2:168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</row>
    <row r="72" spans="2:168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</row>
    <row r="73" spans="2:168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</row>
    <row r="74" spans="2:168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</row>
    <row r="75" spans="2:168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</row>
    <row r="76" spans="2:168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</row>
    <row r="77" spans="2:168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</row>
    <row r="78" spans="2:168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</row>
    <row r="79" spans="2:168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</row>
    <row r="80" spans="2:168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</row>
    <row r="81" spans="2:168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</row>
    <row r="82" spans="2:168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</row>
    <row r="83" spans="2:168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</row>
    <row r="84" spans="2:168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</row>
    <row r="85" spans="2:168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</row>
    <row r="86" spans="2:168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</row>
    <row r="87" spans="2:168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</row>
    <row r="88" spans="2:168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</row>
    <row r="89" spans="2:168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</row>
    <row r="90" spans="2:168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</row>
    <row r="91" spans="2:168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</row>
    <row r="92" spans="2:168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</row>
    <row r="93" spans="2:168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</row>
    <row r="94" spans="2:168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</row>
    <row r="95" spans="2:168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</row>
    <row r="96" spans="2:168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</row>
    <row r="97" spans="2:168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</row>
    <row r="98" spans="2:168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</row>
    <row r="99" spans="2:168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</row>
    <row r="100" spans="2:168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</row>
    <row r="101" spans="2:168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</row>
    <row r="102" spans="2:168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</row>
    <row r="103" spans="2:168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</row>
    <row r="104" spans="2:168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</row>
    <row r="105" spans="2:168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</row>
    <row r="106" spans="2:168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</row>
    <row r="107" spans="2:168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</row>
    <row r="108" spans="2:168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</row>
    <row r="109" spans="2:168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</row>
    <row r="110" spans="2:168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</row>
    <row r="111" spans="2:168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</row>
    <row r="112" spans="2:168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</row>
    <row r="113" spans="2:168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</row>
    <row r="114" spans="2:168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</row>
    <row r="115" spans="2:168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</row>
    <row r="116" spans="2:168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</row>
    <row r="117" spans="2:168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</row>
    <row r="118" spans="2:168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</row>
    <row r="119" spans="2:168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</row>
    <row r="120" spans="2:168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</row>
    <row r="121" spans="2:168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</row>
    <row r="122" spans="2:168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</row>
    <row r="123" spans="2:168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</row>
    <row r="124" spans="2:168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</row>
    <row r="125" spans="2:168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</row>
    <row r="126" spans="2:168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</row>
    <row r="127" spans="2:168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</row>
    <row r="128" spans="2:168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</row>
    <row r="129" spans="2:168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</row>
    <row r="130" spans="2:168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</row>
    <row r="131" spans="2:168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</row>
    <row r="132" spans="2:168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</row>
    <row r="133" spans="2:168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</row>
    <row r="134" spans="2:168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</row>
    <row r="135" spans="2:168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</row>
    <row r="136" spans="2:168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</row>
    <row r="137" spans="2:168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</row>
    <row r="138" spans="2:168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</row>
    <row r="139" spans="2:168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</row>
    <row r="140" spans="2:168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</row>
    <row r="141" spans="2:168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</row>
    <row r="142" spans="2:168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</row>
    <row r="143" spans="2:168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</row>
    <row r="144" spans="2:168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</row>
    <row r="145" spans="2:168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</row>
    <row r="146" spans="2:168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</row>
    <row r="147" spans="2:168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</row>
    <row r="148" spans="2:168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</row>
    <row r="149" spans="2:168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</row>
    <row r="150" spans="2:168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</row>
    <row r="151" spans="2:168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</row>
    <row r="152" spans="2:168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</row>
    <row r="153" spans="2:168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</row>
    <row r="154" spans="2:168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</row>
    <row r="155" spans="2:168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</row>
    <row r="156" spans="2:168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</row>
    <row r="157" spans="2:168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</row>
    <row r="158" spans="2:168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</row>
    <row r="159" spans="2:168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</row>
    <row r="160" spans="2:168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</row>
    <row r="161" spans="2:168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</row>
    <row r="162" spans="2:168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</row>
    <row r="163" spans="2:168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</row>
    <row r="164" spans="2:168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</row>
    <row r="165" spans="2:168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</row>
    <row r="166" spans="2:168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</row>
    <row r="167" spans="2:168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</row>
    <row r="168" spans="2:168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</row>
    <row r="169" spans="2:168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</row>
    <row r="170" spans="2:168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</row>
    <row r="171" spans="2:168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</row>
    <row r="172" spans="2:168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</row>
    <row r="173" spans="2:168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</row>
    <row r="174" spans="2:168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</row>
    <row r="175" spans="2:168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</row>
    <row r="176" spans="2:168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</row>
    <row r="177" spans="2:168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</row>
    <row r="178" spans="2:168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</row>
    <row r="179" spans="2:168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</row>
    <row r="180" spans="2:168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</row>
    <row r="181" spans="2:168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</row>
    <row r="182" spans="2:168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</row>
    <row r="183" spans="2:168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</row>
    <row r="184" spans="2:168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</row>
    <row r="185" spans="2:168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</row>
    <row r="186" spans="2:168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</row>
    <row r="187" spans="2:168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</row>
    <row r="188" spans="2:168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</row>
    <row r="189" spans="2:168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</row>
    <row r="190" spans="2:168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</row>
    <row r="191" spans="2:168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</row>
    <row r="192" spans="2:168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</row>
    <row r="193" spans="2:168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</row>
    <row r="194" spans="2:168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</row>
    <row r="195" spans="2:168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</row>
    <row r="196" spans="2:168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</row>
    <row r="197" spans="2:168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</row>
    <row r="198" spans="2:168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</row>
    <row r="199" spans="2:168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</row>
    <row r="200" spans="2:168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</row>
    <row r="201" spans="2:168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</row>
    <row r="202" spans="2:168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</row>
    <row r="203" spans="2:168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</row>
    <row r="204" spans="2:168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</row>
    <row r="205" spans="2:168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</row>
    <row r="206" spans="2:168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</row>
    <row r="207" spans="2:168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</row>
    <row r="208" spans="2:168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</row>
    <row r="209" spans="2:168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</row>
    <row r="210" spans="2:168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</row>
    <row r="211" spans="2:168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</row>
    <row r="212" spans="2:168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</row>
    <row r="213" spans="2:168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</row>
    <row r="214" spans="2:168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</row>
    <row r="215" spans="2:168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</row>
    <row r="216" spans="2:168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</row>
    <row r="217" spans="2:168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</row>
    <row r="218" spans="2:168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</row>
    <row r="219" spans="2:168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</row>
    <row r="220" spans="2:168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</row>
    <row r="221" spans="2:168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</row>
    <row r="222" spans="2:168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</row>
    <row r="223" spans="2:168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</row>
    <row r="224" spans="2:168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</row>
    <row r="225" spans="2:168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</row>
    <row r="226" spans="2:168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</row>
    <row r="227" spans="2:168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</row>
    <row r="228" spans="2:168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</row>
    <row r="229" spans="2:168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</row>
    <row r="230" spans="2:168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</row>
    <row r="231" spans="2:168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</row>
    <row r="232" spans="2:168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</row>
    <row r="233" spans="2:168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</row>
    <row r="234" spans="2:168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</row>
    <row r="235" spans="2:168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</row>
    <row r="236" spans="2:168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</row>
    <row r="237" spans="2:168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</row>
    <row r="238" spans="2:168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</row>
    <row r="239" spans="2:168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</row>
    <row r="240" spans="2:168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</row>
    <row r="241" spans="2:168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</row>
    <row r="242" spans="2:168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</row>
    <row r="243" spans="2:168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</row>
    <row r="244" spans="2:168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</row>
    <row r="245" spans="2:168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</row>
    <row r="246" spans="2:168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</row>
    <row r="247" spans="2:168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</row>
    <row r="248" spans="2:168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</row>
    <row r="249" spans="2:168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</row>
    <row r="250" spans="2:168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</row>
    <row r="251" spans="2:168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Fernanda Ribeiro</cp:lastModifiedBy>
  <dcterms:created xsi:type="dcterms:W3CDTF">2024-12-19T13:13:10Z</dcterms:created>
  <dcterms:modified xsi:type="dcterms:W3CDTF">2026-02-15T04:13:59Z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